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00" firstSheet="0" activeTab="2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버전체계" sheetId="2" state="visible" r:id="rId2"/>
    <sheet xmlns:r="http://schemas.openxmlformats.org/officeDocument/2006/relationships" name="형상이력대장" sheetId="3" state="visible" r:id="rId3"/>
    <sheet xmlns:r="http://schemas.openxmlformats.org/officeDocument/2006/relationships" name="펌웨어구성분석" sheetId="4" state="visible" r:id="rId4"/>
  </sheets>
  <definedNames>
    <definedName name="_xlnm.Print_Area" localSheetId="0">'표지'!$B$2:$F$16</definedName>
    <definedName name="_xlnm.Print_Area" localSheetId="1">'버전체계'!$B$2:$F$16</definedName>
    <definedName name="_xlnm.Print_Area" localSheetId="2">'형상이력대장'!$A$1:$K$17</definedName>
    <definedName name="_xlnm.Print_Area" localSheetId="3">'펌웨어구성분석'!$B$2:$D$17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25">
    <font>
      <name val="Calibri"/>
      <charset val="1"/>
      <family val="2"/>
      <color theme="1"/>
      <sz val="11"/>
    </font>
    <font>
      <name val="Arial"/>
      <charset val="1"/>
      <b val="1"/>
      <color rgb="FFFFFFFF"/>
      <sz val="16"/>
    </font>
    <font>
      <name val="Noto Sans CJK SC"/>
      <family val="2"/>
      <b val="1"/>
      <color rgb="FFFFFFFF"/>
      <sz val="16"/>
    </font>
    <font>
      <name val="Noto Sans CJK SC"/>
      <charset val="1"/>
      <family val="2"/>
      <b val="1"/>
      <color rgb="FF000000"/>
      <sz val="10"/>
    </font>
    <font>
      <name val="Noto Sans CJK SC"/>
      <charset val="1"/>
      <family val="2"/>
      <color rgb="FF000000"/>
      <sz val="10"/>
    </font>
    <font>
      <name val="Arial"/>
      <family val="2"/>
      <color rgb="FF000000"/>
      <sz val="10"/>
    </font>
    <font>
      <name val="Noto Sans CJK SC"/>
      <family val="2"/>
      <color rgb="FF000000"/>
      <sz val="10"/>
    </font>
    <font>
      <name val="Arial"/>
      <family val="2"/>
      <b val="1"/>
      <color rgb="FF000000"/>
      <sz val="10"/>
    </font>
    <font>
      <name val="Noto Sans CJK SC"/>
      <family val="2"/>
      <b val="1"/>
      <color rgb="FF000000"/>
      <sz val="10"/>
    </font>
    <font>
      <name val="Noto Sans CJK SC"/>
      <charset val="1"/>
      <family val="2"/>
      <color rgb="FF555555"/>
      <sz val="9"/>
    </font>
    <font>
      <name val="Arial"/>
      <family val="2"/>
      <b val="1"/>
      <color rgb="FF000000"/>
      <sz val="13"/>
    </font>
    <font>
      <name val="Noto Sans CJK SC"/>
      <family val="2"/>
      <b val="1"/>
      <color rgb="FF000000"/>
      <sz val="13"/>
    </font>
    <font>
      <name val="Noto Sans CJK SC"/>
      <charset val="1"/>
      <family val="2"/>
      <b val="1"/>
      <color rgb="FF1F4E78"/>
      <sz val="11"/>
    </font>
    <font>
      <name val="Arial"/>
      <family val="2"/>
      <b val="1"/>
      <color rgb="FFFF0000"/>
      <sz val="10"/>
    </font>
    <font>
      <name val="Arial"/>
      <family val="2"/>
      <b val="1"/>
      <color rgb="FFFFFFFF"/>
      <sz val="13"/>
    </font>
    <font>
      <name val="Noto Sans CJK SC"/>
      <family val="2"/>
      <b val="1"/>
      <color rgb="FFFFFFFF"/>
      <sz val="13"/>
    </font>
    <font>
      <name val="Arial"/>
      <family val="2"/>
      <b val="1"/>
      <color rgb="FF0070C0"/>
      <sz val="10"/>
    </font>
    <font>
      <name val="Arial"/>
      <family val="2"/>
      <b val="1"/>
      <color rgb="FFC00000"/>
      <sz val="10"/>
    </font>
    <font>
      <name val="Noto Sans CJK SC"/>
      <charset val="1"/>
      <family val="2"/>
      <b val="1"/>
      <color rgb="FF000000"/>
      <sz val="13"/>
    </font>
    <font>
      <name val="Arial"/>
      <family val="2"/>
      <b val="1"/>
      <color rgb="FFFFFFFF"/>
      <sz val="16"/>
    </font>
    <font>
      <name val="돋움"/>
      <charset val="129"/>
      <family val="3"/>
      <sz val="8"/>
    </font>
    <font>
      <name val="맑은 고딕"/>
      <charset val="129"/>
      <family val="3"/>
      <color rgb="FF000000"/>
      <sz val="10"/>
    </font>
    <font>
      <name val="Noto Sans CJK SC"/>
      <charset val="129"/>
      <family val="3"/>
      <color rgb="FF000000"/>
      <sz val="10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2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D9D9D9"/>
        <bgColor rgb="FFC0C0C0"/>
      </patternFill>
    </fill>
    <fill>
      <patternFill patternType="solid">
        <fgColor theme="0"/>
        <bgColor rgb="FFF2F2F2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4" fontId="5" fillId="0" borderId="1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center" vertical="center" wrapText="1"/>
    </xf>
    <xf numFmtId="0" fontId="2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0" fontId="1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vertical="center" wrapText="1"/>
    </xf>
    <xf numFmtId="0" fontId="2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3" customWidth="1" min="1" max="1"/>
    <col width="22" customWidth="1" min="2" max="5"/>
    <col width="18" customWidth="1" min="6" max="6"/>
  </cols>
  <sheetData>
    <row r="1" ht="15" customHeight="1">
      <c r="A1" s="3" t="n"/>
      <c r="B1" s="3" t="n"/>
      <c r="C1" s="3" t="n"/>
      <c r="D1" s="3" t="n"/>
      <c r="E1" s="3" t="n"/>
      <c r="F1" s="3" t="n"/>
    </row>
    <row r="2" ht="33.75" customHeight="1">
      <c r="A2" s="3" t="n"/>
      <c r="B2" s="32" t="inlineStr">
        <is>
          <t>SW 형상관리대장 (Software Configuration Management)</t>
        </is>
      </c>
    </row>
    <row r="3" ht="15" customHeight="1">
      <c r="A3" s="3" t="n"/>
      <c r="B3" s="3" t="n"/>
      <c r="C3" s="3" t="n"/>
      <c r="D3" s="3" t="n"/>
      <c r="E3" s="3" t="n"/>
      <c r="F3" s="3" t="n"/>
    </row>
    <row r="4" ht="21.75" customHeight="1">
      <c r="A4" s="3" t="n"/>
      <c r="B4" s="4" t="inlineStr">
        <is>
          <t>제품명</t>
        </is>
      </c>
      <c r="C4" s="33" t="inlineStr">
        <is>
          <t>30kW 수소지게차 80V PACK 보조배터리팩 (HDA 80V PACK)</t>
        </is>
      </c>
      <c r="D4" s="43" t="n"/>
      <c r="E4" s="43" t="n"/>
      <c r="F4" s="44" t="n"/>
    </row>
    <row r="5" ht="21.75" customHeight="1">
      <c r="A5" s="3" t="n"/>
      <c r="B5" s="4" t="inlineStr">
        <is>
          <t>제품 코드</t>
        </is>
      </c>
      <c r="C5" s="34" t="inlineStr">
        <is>
          <t>F28069 HMobis72V Pack (Product_Type=3, Capacity=45)</t>
        </is>
      </c>
      <c r="D5" s="43" t="n"/>
      <c r="E5" s="43" t="n"/>
      <c r="F5" s="44" t="n"/>
    </row>
    <row r="6" ht="21.75" customHeight="1">
      <c r="A6" s="3" t="n"/>
      <c r="B6" s="4" t="inlineStr">
        <is>
          <t>대상 SW</t>
        </is>
      </c>
      <c r="C6" s="34" t="inlineStr">
        <is>
          <t>F28069PackBMS  (R20 백업: D:\00 BackUp\44 ...R20  +  현행 R21: D:\44 ...R21)</t>
        </is>
      </c>
      <c r="D6" s="43" t="n"/>
      <c r="E6" s="43" t="n"/>
      <c r="F6" s="44" t="n"/>
    </row>
    <row r="7" ht="21.75" customHeight="1">
      <c r="A7" s="3" t="n"/>
      <c r="B7" s="4" t="inlineStr">
        <is>
          <t>현행 SW 버전</t>
        </is>
      </c>
      <c r="C7" s="34" t="inlineStr">
        <is>
          <t>V0.026 (0=시험 / 소프트웨어=26)  · parameter.h Product_Version=26</t>
        </is>
      </c>
      <c r="D7" s="43" t="n"/>
      <c r="E7" s="43" t="n"/>
      <c r="F7" s="44" t="n"/>
    </row>
    <row r="8" ht="21.75" customHeight="1">
      <c r="A8" s="3" t="n"/>
      <c r="B8" s="5" t="inlineStr">
        <is>
          <t>BMS 플랫폼</t>
        </is>
      </c>
      <c r="C8" s="34" t="inlineStr">
        <is>
          <t>TI F28069 DSP + LTC6804 Slave BMS</t>
        </is>
      </c>
      <c r="D8" s="43" t="n"/>
      <c r="E8" s="43" t="n"/>
      <c r="F8" s="44" t="n"/>
    </row>
    <row r="9" ht="21.75" customHeight="1">
      <c r="A9" s="3" t="n"/>
      <c r="B9" s="4" t="inlineStr">
        <is>
          <t>문서번호</t>
        </is>
      </c>
      <c r="C9" s="34" t="inlineStr">
        <is>
          <t>GINT-SCM-FW-002</t>
        </is>
      </c>
      <c r="D9" s="43" t="n"/>
      <c r="E9" s="43" t="n"/>
      <c r="F9" s="44" t="n"/>
    </row>
    <row r="10" ht="21.75" customHeight="1">
      <c r="A10" s="3" t="n"/>
      <c r="B10" s="4" t="inlineStr">
        <is>
          <t>작성자</t>
        </is>
      </c>
      <c r="C10" s="33" t="inlineStr">
        <is>
          <t>이우원 (사업본부장)</t>
        </is>
      </c>
      <c r="D10" s="43" t="n"/>
      <c r="E10" s="43" t="n"/>
      <c r="F10" s="44" t="n"/>
    </row>
    <row r="11" ht="21.75" customHeight="1">
      <c r="A11" s="3" t="n"/>
      <c r="B11" s="4" t="inlineStr">
        <is>
          <t>검토자</t>
        </is>
      </c>
      <c r="C11" s="33" t="n"/>
      <c r="D11" s="43" t="n"/>
      <c r="E11" s="43" t="n"/>
      <c r="F11" s="44" t="n"/>
    </row>
    <row r="12" ht="21.75" customHeight="1">
      <c r="A12" s="3" t="n"/>
      <c r="B12" s="4" t="inlineStr">
        <is>
          <t>승인자</t>
        </is>
      </c>
      <c r="C12" s="33" t="n"/>
      <c r="D12" s="43" t="n"/>
      <c r="E12" s="43" t="n"/>
      <c r="F12" s="44" t="n"/>
    </row>
    <row r="13" ht="21.75" customHeight="1">
      <c r="A13" s="3" t="n"/>
      <c r="B13" s="4" t="inlineStr">
        <is>
          <t>작성일</t>
        </is>
      </c>
      <c r="C13" s="34" t="inlineStr">
        <is>
          <t>2026-06-23</t>
        </is>
      </c>
      <c r="D13" s="43" t="n"/>
      <c r="E13" s="43" t="n"/>
      <c r="F13" s="44" t="n"/>
    </row>
    <row r="14" ht="21.75" customHeight="1">
      <c r="A14" s="3" t="n"/>
      <c r="B14" s="4" t="inlineStr">
        <is>
          <t>문서버전</t>
        </is>
      </c>
      <c r="C14" s="34" t="inlineStr">
        <is>
          <t>R2 (AI 생성) — R20 백업 현장이력 통합</t>
        </is>
      </c>
      <c r="D14" s="43" t="n"/>
      <c r="E14" s="43" t="n"/>
      <c r="F14" s="44" t="n"/>
    </row>
    <row r="15" ht="15" customHeight="1">
      <c r="A15" s="3" t="n"/>
      <c r="B15" s="3" t="n"/>
      <c r="C15" s="3" t="n"/>
      <c r="D15" s="3" t="n"/>
      <c r="E15" s="3" t="n"/>
      <c r="F15" s="3" t="n"/>
    </row>
    <row r="16" ht="26.25" customHeight="1">
      <c r="A16" s="3" t="n"/>
      <c r="B16" s="35" t="inlineStr">
        <is>
          <t>※ 본 대장은 R20 백업 저장소(2025년 현장 배포 이력)와 현행 R21 저장소(2026년 개발 이력)를 통합한 연속 형상이력이다. R21은 2026-06-02 Git 재초기화로 R20 이력이 단절되어 본 대장에서 재통합함.</t>
        </is>
      </c>
    </row>
  </sheetData>
  <mergeCells count="13">
    <mergeCell ref="C13:F13"/>
    <mergeCell ref="C9:F9"/>
    <mergeCell ref="B16:F16"/>
    <mergeCell ref="C8:F8"/>
    <mergeCell ref="B2:F2"/>
    <mergeCell ref="C4:F4"/>
    <mergeCell ref="C12:F12"/>
    <mergeCell ref="C6:F6"/>
    <mergeCell ref="C7:F7"/>
    <mergeCell ref="C11:F11"/>
    <mergeCell ref="C10:F10"/>
    <mergeCell ref="C5:F5"/>
    <mergeCell ref="C14:F14"/>
  </mergeCells>
  <printOptions horizontalCentered="1"/>
  <pageMargins left="0.4" right="0.4" top="0.6" bottom="0.6" header="0.511811023622047" footer="0.511811023622047"/>
  <pageSetup orientation="portrait" paperSize="9" fitToHeight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3" customWidth="1" min="1" max="1"/>
    <col width="16" customWidth="1" min="2" max="2"/>
    <col width="14" customWidth="1" min="3" max="3"/>
    <col width="40" customWidth="1" min="4" max="4"/>
    <col width="20" customWidth="1" min="5" max="5"/>
  </cols>
  <sheetData>
    <row r="1" ht="15" customHeight="1">
      <c r="A1" s="3" t="n"/>
      <c r="B1" s="3" t="n"/>
      <c r="C1" s="3" t="n"/>
      <c r="D1" s="3" t="n"/>
      <c r="E1" s="3" t="n"/>
      <c r="F1" s="3" t="n"/>
    </row>
    <row r="2" ht="19.5" customHeight="1">
      <c r="A2" s="3" t="n"/>
      <c r="B2" s="37" t="inlineStr">
        <is>
          <t>1. SW 버전 코딩 규칙</t>
        </is>
      </c>
    </row>
    <row r="3" ht="15" customHeight="1">
      <c r="A3" s="3" t="n"/>
      <c r="B3" s="3" t="n"/>
      <c r="C3" s="3" t="n"/>
      <c r="D3" s="3" t="n"/>
      <c r="E3" s="3" t="n"/>
      <c r="F3" s="3" t="n"/>
    </row>
    <row r="4" ht="25.5" customHeight="1">
      <c r="A4" s="3" t="n"/>
      <c r="B4" s="38" t="inlineStr">
        <is>
          <t>버전 형식 :   V [구분].[소프트웨어]      예) V1.002 = 양산 / 소프트웨어 2,   V0.015 = 시험 / 소프트웨어 15</t>
        </is>
      </c>
      <c r="C4" s="43" t="n"/>
      <c r="D4" s="43" t="n"/>
      <c r="E4" s="43" t="n"/>
      <c r="F4" s="44" t="n"/>
    </row>
    <row r="5" ht="15" customHeight="1">
      <c r="A5" s="3" t="n"/>
      <c r="B5" s="3" t="n"/>
      <c r="C5" s="3" t="n"/>
      <c r="D5" s="3" t="n"/>
      <c r="E5" s="3" t="n"/>
      <c r="F5" s="3" t="n"/>
    </row>
    <row r="6" ht="15" customHeight="1">
      <c r="A6" s="3" t="n"/>
      <c r="B6" s="6" t="inlineStr">
        <is>
          <t>필드</t>
        </is>
      </c>
      <c r="C6" s="6" t="inlineStr">
        <is>
          <t>코드/범위</t>
        </is>
      </c>
      <c r="D6" s="6" t="inlineStr">
        <is>
          <t>구분</t>
        </is>
      </c>
      <c r="E6" s="6" t="inlineStr">
        <is>
          <t>의미</t>
        </is>
      </c>
      <c r="F6" s="6" t="inlineStr">
        <is>
          <t>비고</t>
        </is>
      </c>
    </row>
    <row r="7" ht="29.25" customHeight="1">
      <c r="A7" s="3" t="n"/>
      <c r="B7" s="33" t="inlineStr">
        <is>
          <t>구분 (양산/시험)</t>
        </is>
      </c>
      <c r="C7" s="7" t="inlineStr">
        <is>
          <t>1</t>
        </is>
      </c>
      <c r="D7" s="8" t="inlineStr">
        <is>
          <t>양산버전</t>
        </is>
      </c>
      <c r="E7" s="33" t="inlineStr">
        <is>
          <t>양산 릴리스(정식 출하) 펌웨어</t>
        </is>
      </c>
      <c r="F7" s="9" t="inlineStr">
        <is>
          <t>1=양산</t>
        </is>
      </c>
    </row>
    <row r="8" ht="15" customHeight="1">
      <c r="A8" s="3" t="n"/>
      <c r="B8" s="33" t="inlineStr">
        <is>
          <t>구분 (양산/시험)</t>
        </is>
      </c>
      <c r="C8" s="7" t="inlineStr">
        <is>
          <t>0</t>
        </is>
      </c>
      <c r="D8" s="8" t="inlineStr">
        <is>
          <t>시험버전</t>
        </is>
      </c>
      <c r="E8" s="33" t="inlineStr">
        <is>
          <t>개발/시험/검증용 펌웨어</t>
        </is>
      </c>
      <c r="F8" s="9" t="inlineStr">
        <is>
          <t>0=시험</t>
        </is>
      </c>
    </row>
    <row r="9" ht="43.5" customHeight="1">
      <c r="A9" s="3" t="n"/>
      <c r="B9" s="33" t="inlineStr">
        <is>
          <t>소프트웨어</t>
        </is>
      </c>
      <c r="C9" s="7" t="inlineStr">
        <is>
          <t>0 ~ 255</t>
        </is>
      </c>
      <c r="D9" s="9" t="inlineStr">
        <is>
          <t>-</t>
        </is>
      </c>
      <c r="E9" s="33" t="inlineStr">
        <is>
          <t>소프트웨어 빌드 번호 (1바이트, 0~255)</t>
        </is>
      </c>
      <c r="F9" s="9" t="inlineStr">
        <is>
          <t>255 도달 시 규칙 재정의</t>
        </is>
      </c>
    </row>
    <row r="10" ht="15" customHeight="1">
      <c r="A10" s="3" t="n"/>
      <c r="B10" s="3" t="n"/>
      <c r="C10" s="3" t="n"/>
      <c r="D10" s="3" t="n"/>
      <c r="E10" s="3" t="n"/>
      <c r="F10" s="3" t="n"/>
    </row>
    <row r="11" ht="19.5" customHeight="1">
      <c r="A11" s="3" t="n"/>
      <c r="B11" s="39" t="inlineStr">
        <is>
          <t>2. 버전 부여·증가 규칙</t>
        </is>
      </c>
    </row>
    <row r="12" ht="18" customHeight="1">
      <c r="A12" s="3" t="n"/>
      <c r="B12" s="36" t="inlineStr">
        <is>
          <t>가. 양산버전(구분=1) : 정식 출하·양산 적용 펌웨어. 품질/검증 완료 후 승인자 승인 시에만 부여한다.</t>
        </is>
      </c>
    </row>
    <row r="13" ht="18" customHeight="1">
      <c r="A13" s="3" t="n"/>
      <c r="B13" s="36" t="inlineStr">
        <is>
          <t>나. 시험버전(구분=0) : 개발·시험·검증 단계 펌웨어. 사내 시험 및 HIS 검토용으로 사용한다.</t>
        </is>
      </c>
    </row>
    <row r="14" ht="18" customHeight="1">
      <c r="A14" s="3" t="n"/>
      <c r="B14" s="36" t="inlineStr">
        <is>
          <t>다. 소프트웨어 번호 : 변경(빌드)이 발생할 때마다 0→1→2 … 순으로 1씩 증가시킨다. (0~255)</t>
        </is>
      </c>
    </row>
    <row r="15" ht="18" customHeight="1">
      <c r="A15" s="3" t="n"/>
      <c r="B15" s="36" t="inlineStr">
        <is>
          <t>라. 시험버전에서 검증 완료된 소프트웨어가 양산 승인되면 구분만 0→1로 승격하고 소프트웨어 번호는 유지한다.</t>
        </is>
      </c>
    </row>
    <row r="16" ht="18" customHeight="1">
      <c r="A16" s="3" t="n"/>
      <c r="B16" s="36" t="inlineStr">
        <is>
          <t>마. 모든 버전 변경은 '형상이력대장' 시트에 1행으로 기록하며, 변경사유·검토·승인을 반드시 명기한다.</t>
        </is>
      </c>
    </row>
  </sheetData>
  <mergeCells count="8">
    <mergeCell ref="B4:F4"/>
    <mergeCell ref="B12:F12"/>
    <mergeCell ref="B16:F16"/>
    <mergeCell ref="B2:F2"/>
    <mergeCell ref="B15:F15"/>
    <mergeCell ref="B11:F11"/>
    <mergeCell ref="B14:F14"/>
    <mergeCell ref="B13:F13"/>
  </mergeCells>
  <printOptions horizontalCentered="1"/>
  <pageMargins left="0.4" right="0.4" top="0.6" bottom="0.6" header="0.511811023622047" footer="0.511811023622047"/>
  <pageSetup orientation="portrait" paperSize="9" fitToHeight="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showGridLines="0" tabSelected="1" zoomScaleNormal="100" workbookViewId="0">
      <pane ySplit="2" topLeftCell="A3" activePane="bottomLeft" state="frozen"/>
      <selection pane="bottomLeft" activeCell="G8" sqref="G8"/>
    </sheetView>
  </sheetViews>
  <sheetFormatPr baseColWidth="8" defaultColWidth="8.7109375" defaultRowHeight="15"/>
  <cols>
    <col width="5" customWidth="1" min="1" max="1"/>
    <col width="9" customWidth="1" min="2" max="2"/>
    <col width="5.7109375" customWidth="1" min="3" max="3"/>
    <col width="5.28515625" customWidth="1" min="4" max="4"/>
    <col width="8.42578125" customWidth="1" min="5" max="5"/>
    <col width="10.28515625" customWidth="1" min="6" max="6"/>
    <col width="71" bestFit="1" customWidth="1" min="7" max="7"/>
    <col width="14.5703125" bestFit="1" customWidth="1" style="22" min="8" max="8"/>
    <col width="9" customWidth="1" min="9" max="9"/>
    <col width="10" customWidth="1" min="10" max="10"/>
    <col width="9.140625" customWidth="1" min="11" max="11"/>
  </cols>
  <sheetData>
    <row r="1" ht="27.75" customHeight="1">
      <c r="A1" s="31" t="inlineStr">
        <is>
          <t>SW 형상(버전) 변경 이력대장 — 30kW HDA 80V PACK (F28069 PackBMS, R20 백업+R21 통합)</t>
        </is>
      </c>
    </row>
    <row r="2" ht="33.75" customHeight="1">
      <c r="A2" s="10" t="inlineStr">
        <is>
          <t>No</t>
        </is>
      </c>
      <c r="B2" s="6" t="inlineStr">
        <is>
          <t>버전</t>
        </is>
      </c>
      <c r="C2" s="25" t="inlineStr">
        <is>
          <t>구분</t>
        </is>
      </c>
      <c r="D2" s="6" t="inlineStr">
        <is>
          <t>버전</t>
        </is>
      </c>
      <c r="E2" s="10" t="inlineStr">
        <is>
          <t>CAN DB</t>
        </is>
      </c>
      <c r="F2" s="6" t="inlineStr">
        <is>
          <t>변경일자</t>
        </is>
      </c>
      <c r="G2" s="6" t="inlineStr">
        <is>
          <t>변경 내용</t>
        </is>
      </c>
      <c r="H2" s="6" t="inlineStr">
        <is>
          <t>변경 사유</t>
        </is>
      </c>
      <c r="I2" s="6" t="inlineStr">
        <is>
          <t>작성자</t>
        </is>
      </c>
      <c r="J2" s="6" t="inlineStr">
        <is>
          <t>검토</t>
        </is>
      </c>
      <c r="K2" s="6" t="inlineStr">
        <is>
          <t>승인</t>
        </is>
      </c>
    </row>
    <row r="3" ht="43.5" customHeight="1">
      <c r="A3" s="8" t="n">
        <v>1</v>
      </c>
      <c r="B3" s="11" t="inlineStr">
        <is>
          <t>V0.000</t>
        </is>
      </c>
      <c r="C3" s="12" t="inlineStr">
        <is>
          <t>0</t>
        </is>
      </c>
      <c r="D3" s="9" t="n">
        <v>0</v>
      </c>
      <c r="E3" s="9" t="inlineStr">
        <is>
          <t>-</t>
        </is>
      </c>
      <c r="F3" s="9" t="inlineStr">
        <is>
          <t>2025-06-27</t>
        </is>
      </c>
      <c r="G3" s="33" t="inlineStr">
        <is>
          <t>[R20] 최초 펌웨어 릴리스 (250627_VER00)</t>
        </is>
      </c>
      <c r="H3" s="8" t="inlineStr">
        <is>
          <t>최초 개발</t>
        </is>
      </c>
      <c r="I3" s="8" t="inlineStr">
        <is>
          <t>이우원</t>
        </is>
      </c>
      <c r="J3" s="8" t="n"/>
      <c r="K3" s="8" t="n"/>
    </row>
    <row r="4" ht="29.25" customHeight="1">
      <c r="A4" s="8" t="n">
        <v>2</v>
      </c>
      <c r="B4" s="11" t="inlineStr">
        <is>
          <t>V0.000</t>
        </is>
      </c>
      <c r="C4" s="12" t="inlineStr">
        <is>
          <t>0</t>
        </is>
      </c>
      <c r="D4" s="9" t="n">
        <v>0</v>
      </c>
      <c r="E4" s="9" t="inlineStr">
        <is>
          <t>-</t>
        </is>
      </c>
      <c r="F4" s="9" t="inlineStr">
        <is>
          <t>2025-06-28</t>
        </is>
      </c>
      <c r="G4" s="33" t="inlineStr">
        <is>
          <t>[R20] 현대자동차 요청 3톤 1~3호 차량 SysFault 적용</t>
        </is>
      </c>
      <c r="H4" s="8" t="inlineStr">
        <is>
          <t>고객 요청</t>
        </is>
      </c>
      <c r="I4" s="8" t="inlineStr">
        <is>
          <t>이우원</t>
        </is>
      </c>
      <c r="J4" s="8" t="n"/>
      <c r="K4" s="8" t="n"/>
    </row>
    <row r="5" ht="60" customHeight="1">
      <c r="A5" s="9" t="n">
        <v>3</v>
      </c>
      <c r="B5" s="11" t="inlineStr">
        <is>
          <t>V0.000</t>
        </is>
      </c>
      <c r="C5" s="19" t="inlineStr">
        <is>
          <t>0</t>
        </is>
      </c>
      <c r="D5" s="9" t="n">
        <v>0</v>
      </c>
      <c r="E5" s="9" t="inlineStr">
        <is>
          <t>-</t>
        </is>
      </c>
      <c r="F5" s="23" t="inlineStr">
        <is>
          <t>2025-07-04</t>
        </is>
      </c>
      <c r="G5" s="20" t="inlineStr">
        <is>
          <t>[R20] 인천 납촌농협 수소충전소 설치 적용</t>
        </is>
      </c>
      <c r="H5" s="8" t="inlineStr">
        <is>
          <t>현장 설치</t>
        </is>
      </c>
      <c r="I5" s="24" t="inlineStr">
        <is>
          <t>이우원</t>
        </is>
      </c>
      <c r="J5" s="42" t="n"/>
      <c r="K5" s="8" t="n"/>
    </row>
    <row r="6" ht="42" customHeight="1">
      <c r="A6" s="13" t="n">
        <v>4</v>
      </c>
      <c r="B6" s="14" t="inlineStr">
        <is>
          <t>V0.000</t>
        </is>
      </c>
      <c r="C6" s="15" t="inlineStr">
        <is>
          <t>0</t>
        </is>
      </c>
      <c r="D6" s="13" t="n">
        <v>0</v>
      </c>
      <c r="E6" s="13" t="inlineStr">
        <is>
          <t>-</t>
        </is>
      </c>
      <c r="F6" s="13" t="inlineStr">
        <is>
          <t>2025-07-22</t>
        </is>
      </c>
      <c r="G6" s="20" t="inlineStr">
        <is>
          <t>[R20] 고려아연 현장 적용</t>
        </is>
      </c>
      <c r="H6" s="21" t="inlineStr">
        <is>
          <t>현장 적용</t>
        </is>
      </c>
      <c r="I6" s="21" t="inlineStr">
        <is>
          <t>이우원</t>
        </is>
      </c>
      <c r="J6" s="16" t="n"/>
      <c r="K6" s="16" t="n"/>
    </row>
    <row r="7" ht="43.5" customHeight="1">
      <c r="A7" s="26" t="n">
        <v>5</v>
      </c>
      <c r="B7" s="11" t="inlineStr">
        <is>
          <t>V0.000</t>
        </is>
      </c>
      <c r="C7" s="12" t="inlineStr">
        <is>
          <t>0</t>
        </is>
      </c>
      <c r="D7" s="9" t="n">
        <v>0</v>
      </c>
      <c r="E7" s="9" t="inlineStr">
        <is>
          <t>-</t>
        </is>
      </c>
      <c r="F7" s="9" t="inlineStr">
        <is>
          <t>2025-10-02</t>
        </is>
      </c>
      <c r="G7" s="33" t="inlineStr">
        <is>
          <t>[R20] 알람 및 장애 프로그램 최종 보완</t>
        </is>
      </c>
      <c r="H7" s="8" t="inlineStr">
        <is>
          <t>기능 보완</t>
        </is>
      </c>
      <c r="I7" s="8" t="inlineStr">
        <is>
          <t>이우원</t>
        </is>
      </c>
      <c r="J7" s="8" t="n"/>
      <c r="K7" s="8" t="n"/>
    </row>
    <row r="8" ht="25.5" customHeight="1">
      <c r="A8" s="8" t="n">
        <v>6</v>
      </c>
      <c r="B8" s="11" t="inlineStr">
        <is>
          <t>V0.000</t>
        </is>
      </c>
      <c r="C8" s="12" t="inlineStr">
        <is>
          <t>0</t>
        </is>
      </c>
      <c r="D8" s="9" t="n">
        <v>0</v>
      </c>
      <c r="E8" s="9" t="inlineStr">
        <is>
          <t>-</t>
        </is>
      </c>
      <c r="F8" s="9" t="inlineStr">
        <is>
          <t>2025-11-04</t>
        </is>
      </c>
      <c r="G8" s="33" t="inlineStr">
        <is>
          <t>[R20] CAN_ID 607(BSA8) 활성화 (251104_NOTE1) · R20 빌드 산출(251128)</t>
        </is>
      </c>
      <c r="H8" s="8" t="inlineStr">
        <is>
          <t>통신 추가</t>
        </is>
      </c>
      <c r="I8" s="8" t="inlineStr">
        <is>
          <t>이우원</t>
        </is>
      </c>
      <c r="J8" s="8" t="n"/>
      <c r="K8" s="8" t="n"/>
    </row>
    <row r="9" ht="25.5" customHeight="1">
      <c r="A9" s="8" t="n">
        <v>7</v>
      </c>
      <c r="B9" s="11" t="inlineStr">
        <is>
          <t>V0.020</t>
        </is>
      </c>
      <c r="C9" s="12" t="inlineStr">
        <is>
          <t>0</t>
        </is>
      </c>
      <c r="D9" s="9" t="n">
        <v>20</v>
      </c>
      <c r="E9" s="9" t="inlineStr">
        <is>
          <t>R19</t>
        </is>
      </c>
      <c r="F9" s="9" t="inlineStr">
        <is>
          <t>2025-11-03</t>
        </is>
      </c>
      <c r="G9" s="33" t="inlineStr">
        <is>
          <t>[R21] 45kW급 파워팩 보조배터리팩 빌드(V3R0). Product_Type=3 적용</t>
        </is>
      </c>
      <c r="H9" s="8" t="inlineStr">
        <is>
          <t>사양 전환</t>
        </is>
      </c>
      <c r="I9" s="8" t="inlineStr">
        <is>
          <t>이우원</t>
        </is>
      </c>
      <c r="J9" s="8" t="n"/>
      <c r="K9" s="8" t="n"/>
    </row>
    <row r="10" ht="25.5" customHeight="1">
      <c r="A10" s="8" t="n">
        <v>8</v>
      </c>
      <c r="B10" s="11" t="inlineStr">
        <is>
          <t>V0.020</t>
        </is>
      </c>
      <c r="C10" s="12" t="inlineStr">
        <is>
          <t>0</t>
        </is>
      </c>
      <c r="D10" s="9" t="n">
        <v>20</v>
      </c>
      <c r="E10" s="9" t="inlineStr">
        <is>
          <t>R19</t>
        </is>
      </c>
      <c r="F10" s="9" t="inlineStr">
        <is>
          <t>2025-11-07</t>
        </is>
      </c>
      <c r="G10" s="33" t="inlineStr">
        <is>
          <t>[R21] 30kW 연료전지(FC) 사양 빌드(30KWFC_251107)</t>
        </is>
      </c>
      <c r="H10" s="8" t="inlineStr">
        <is>
          <t>사양 적용</t>
        </is>
      </c>
      <c r="I10" s="8" t="inlineStr">
        <is>
          <t>이우원</t>
        </is>
      </c>
      <c r="J10" s="8" t="n"/>
      <c r="K10" s="8" t="n"/>
    </row>
    <row r="11" ht="25.5" customHeight="1">
      <c r="A11" s="8" t="n">
        <v>9</v>
      </c>
      <c r="B11" s="11" t="inlineStr">
        <is>
          <t>V0.020</t>
        </is>
      </c>
      <c r="C11" s="12" t="inlineStr">
        <is>
          <t>0</t>
        </is>
      </c>
      <c r="D11" s="9" t="n">
        <v>20</v>
      </c>
      <c r="E11" s="9" t="inlineStr">
        <is>
          <t>R19</t>
        </is>
      </c>
      <c r="F11" s="9" t="inlineStr">
        <is>
          <t>2026-06-02</t>
        </is>
      </c>
      <c r="G11" s="33" t="inlineStr">
        <is>
          <t>[R21] Git 저장소 재초기화(baseline). 한글주석 CP949→UTF-8(12파일), ARCHITECTURE·변경이력 문서화</t>
        </is>
      </c>
      <c r="H11" s="8" t="inlineStr">
        <is>
          <t>형상관리 착수</t>
        </is>
      </c>
      <c r="I11" s="8" t="inlineStr">
        <is>
          <t>이우원</t>
        </is>
      </c>
      <c r="J11" s="8" t="n"/>
      <c r="K11" s="8" t="n"/>
    </row>
    <row r="12" ht="25.5" customHeight="1">
      <c r="A12" s="8" t="n">
        <v>10</v>
      </c>
      <c r="B12" s="11" t="inlineStr">
        <is>
          <t>V0.025</t>
        </is>
      </c>
      <c r="C12" s="12" t="inlineStr">
        <is>
          <t>0</t>
        </is>
      </c>
      <c r="D12" s="9" t="n">
        <v>25</v>
      </c>
      <c r="E12" s="9" t="inlineStr">
        <is>
          <t>R19</t>
        </is>
      </c>
      <c r="F12" s="9" t="inlineStr">
        <is>
          <t>2026-06-04</t>
        </is>
      </c>
      <c r="G12" s="33" t="inlineStr">
        <is>
          <t>[R21] 과전류타임 Fault(PackOcTime_Err) 기능 삭제, 순시 과전류 506A→500A</t>
        </is>
      </c>
      <c r="H12" s="8" t="inlineStr">
        <is>
          <t>보호로직 개정</t>
        </is>
      </c>
      <c r="I12" s="8" t="inlineStr">
        <is>
          <t>이우원</t>
        </is>
      </c>
      <c r="J12" s="8" t="n"/>
      <c r="K12" s="8" t="n"/>
    </row>
    <row r="13" ht="25.5" customHeight="1">
      <c r="A13" s="8" t="n">
        <v>11</v>
      </c>
      <c r="B13" s="11" t="inlineStr">
        <is>
          <t>V0.026</t>
        </is>
      </c>
      <c r="C13" s="12" t="inlineStr">
        <is>
          <t>0</t>
        </is>
      </c>
      <c r="D13" s="9" t="n">
        <v>26</v>
      </c>
      <c r="E13" s="9" t="inlineStr">
        <is>
          <t>R19</t>
        </is>
      </c>
      <c r="F13" s="9" t="inlineStr">
        <is>
          <t>2026-06-04</t>
        </is>
      </c>
      <c r="G13" s="33" t="inlineStr">
        <is>
          <t>[R21] 과전류 알람 500A→400A, 해제 히스테리시스 456A→300A, 상태전이 버그수정 (commit 10b3bc9)</t>
        </is>
      </c>
      <c r="H13" s="8" t="inlineStr">
        <is>
          <t>보호로직 개정</t>
        </is>
      </c>
      <c r="I13" s="8" t="inlineStr">
        <is>
          <t>이우원</t>
        </is>
      </c>
      <c r="J13" s="8" t="n"/>
      <c r="K13" s="8" t="n"/>
    </row>
    <row r="14" ht="25.5" customHeight="1">
      <c r="A14" s="8" t="n">
        <v>12</v>
      </c>
      <c r="B14" s="11" t="inlineStr">
        <is>
          <t>V0.026</t>
        </is>
      </c>
      <c r="C14" s="12" t="inlineStr">
        <is>
          <t>0</t>
        </is>
      </c>
      <c r="D14" s="9" t="n">
        <v>26</v>
      </c>
      <c r="E14" s="9" t="inlineStr">
        <is>
          <t>R19</t>
        </is>
      </c>
      <c r="F14" s="9" t="inlineStr">
        <is>
          <t>2026-06-10</t>
        </is>
      </c>
      <c r="G14" s="33" t="inlineStr">
        <is>
          <t>[R21] F28069PackBMS260610_R3 시험 빌드 산출</t>
        </is>
      </c>
      <c r="H14" s="8" t="inlineStr">
        <is>
          <t>시험 빌드</t>
        </is>
      </c>
      <c r="I14" s="8" t="inlineStr">
        <is>
          <t>이우원</t>
        </is>
      </c>
      <c r="J14" s="8" t="n"/>
      <c r="K14" s="8" t="n"/>
    </row>
    <row r="15" ht="25.5" customHeight="1">
      <c r="A15" s="8" t="n"/>
      <c r="B15" s="8" t="n"/>
      <c r="C15" s="9" t="n"/>
      <c r="D15" s="9" t="n"/>
      <c r="E15" s="8" t="n"/>
      <c r="F15" s="8" t="n"/>
      <c r="G15" s="33" t="n"/>
      <c r="H15" s="8" t="n"/>
      <c r="I15" s="8" t="n"/>
      <c r="J15" s="8" t="n"/>
      <c r="K15" s="8" t="n"/>
    </row>
    <row r="16" ht="25.5" customHeight="1">
      <c r="A16" s="8" t="n"/>
      <c r="B16" s="8" t="n"/>
      <c r="C16" s="9" t="n"/>
      <c r="D16" s="9" t="n"/>
      <c r="E16" s="8" t="n"/>
      <c r="F16" s="8" t="n"/>
      <c r="G16" s="33" t="n"/>
      <c r="H16" s="8" t="n"/>
      <c r="I16" s="8" t="n"/>
      <c r="J16" s="8" t="n"/>
      <c r="K16" s="8" t="n"/>
    </row>
    <row r="17" ht="25.5" customHeight="1">
      <c r="A17" s="8" t="n"/>
      <c r="B17" s="8" t="n"/>
      <c r="C17" s="9" t="n"/>
      <c r="D17" s="9" t="n"/>
      <c r="E17" s="8" t="n"/>
      <c r="F17" s="8" t="n"/>
      <c r="G17" s="33" t="n"/>
      <c r="H17" s="8" t="n"/>
      <c r="I17" s="8" t="n"/>
      <c r="J17" s="8" t="n"/>
      <c r="K17" s="8" t="n"/>
    </row>
  </sheetData>
  <mergeCells count="1">
    <mergeCell ref="A1:K1"/>
  </mergeCells>
  <dataValidations count="2">
    <dataValidation sqref="C3:C17" showDropDown="0" showInputMessage="0" showErrorMessage="0" allowBlank="1" type="list">
      <formula1>"0,1"</formula1>
      <formula2>0</formula2>
    </dataValidation>
    <dataValidation sqref="D3:D17" showDropDown="0" showInputMessage="0" showErrorMessage="0" allowBlank="1" type="whole">
      <formula1>0</formula1>
      <formula2>255</formula2>
    </dataValidation>
  </dataValidations>
  <printOptions horizontalCentered="1"/>
  <pageMargins left="0.4" right="0.4" top="0.6" bottom="0.6" header="0.511811023622047" footer="0.511811023622047"/>
  <pageSetup orientation="landscape" paperSize="9" fitToHeight="0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3" customWidth="1" min="1" max="1"/>
    <col width="28" customWidth="1" min="2" max="2"/>
    <col width="12" customWidth="1" min="3" max="3"/>
    <col width="46" customWidth="1" min="4" max="4"/>
  </cols>
  <sheetData>
    <row r="1" ht="15" customHeight="1">
      <c r="A1" s="3" t="n"/>
      <c r="B1" s="3" t="n"/>
      <c r="C1" s="3" t="n"/>
      <c r="D1" s="3" t="n"/>
    </row>
    <row r="2" ht="19.5" customHeight="1">
      <c r="A2" s="3" t="n"/>
      <c r="B2" s="40" t="inlineStr">
        <is>
          <t>펌웨어 구성 분석 (F28069 PackBMS R21 / SysSoure 정의 함수 약 95개)</t>
        </is>
      </c>
    </row>
    <row r="3" ht="15" customHeight="1">
      <c r="A3" s="3" t="n"/>
      <c r="B3" s="3" t="n"/>
      <c r="C3" s="3" t="n"/>
      <c r="D3" s="3" t="n"/>
    </row>
    <row r="4" ht="15" customHeight="1">
      <c r="A4" s="3" t="n"/>
      <c r="B4" s="6" t="inlineStr">
        <is>
          <t>구분 (소스파일)</t>
        </is>
      </c>
      <c r="C4" s="6" t="inlineStr">
        <is>
          <t>함수 수</t>
        </is>
      </c>
      <c r="D4" s="6" t="inlineStr">
        <is>
          <t>설명</t>
        </is>
      </c>
    </row>
    <row r="5" ht="15" customHeight="1">
      <c r="A5" s="3" t="n"/>
      <c r="B5" s="34" t="inlineStr">
        <is>
          <t>main.c</t>
        </is>
      </c>
      <c r="C5" s="8" t="n">
        <v>4</v>
      </c>
      <c r="D5" s="34" t="inlineStr">
        <is>
          <t>메인 루프 / CPU·클럭·인터럽트 초기화 / 1ms ISR</t>
        </is>
      </c>
    </row>
    <row r="6" ht="15" customHeight="1">
      <c r="A6" s="3" t="n"/>
      <c r="B6" s="33" t="inlineStr">
        <is>
          <t>DSP28x_Project.c</t>
        </is>
      </c>
      <c r="C6" s="8" t="n">
        <v>51</v>
      </c>
      <c r="D6" s="33" t="inlineStr">
        <is>
          <t>CAN 송수신, 시스템 변수·타이머 초기화, 80V/12V 전압·온도·전류 연산, Fault/Alarm 보호 판정, DIO, 릴레이 타이머</t>
        </is>
      </c>
    </row>
    <row r="7" ht="15" customHeight="1">
      <c r="A7" s="3" t="n"/>
      <c r="B7" s="33" t="inlineStr">
        <is>
          <t>BAT_LTC6802.c</t>
        </is>
      </c>
      <c r="C7" s="8" t="n">
        <v>22</v>
      </c>
      <c r="D7" s="34" t="inlineStr">
        <is>
          <t>LTC6804 Slave BMS SPI 통신, PEC15, 셀 전압·온도 측정, 밸런싱</t>
        </is>
      </c>
    </row>
    <row r="8" ht="15" customHeight="1">
      <c r="A8" s="3" t="n"/>
      <c r="B8" s="34" t="inlineStr">
        <is>
          <t>BATAlgorithm.c</t>
        </is>
      </c>
      <c r="C8" s="8" t="n">
        <v>12</v>
      </c>
      <c r="D8" s="34" t="inlineStr">
        <is>
          <t>SOC 알고리즘 (Farasis52Ah/Frey60Ah/Kokam, OCV·전류적산)</t>
        </is>
      </c>
    </row>
    <row r="9" ht="15" customHeight="1">
      <c r="A9" s="3" t="n"/>
      <c r="B9" s="34" t="inlineStr">
        <is>
          <t>ProtectRelay.c</t>
        </is>
      </c>
      <c r="C9" s="8" t="n">
        <v>6</v>
      </c>
      <c r="D9" s="34" t="inlineStr">
        <is>
          <t>보호 릴레이 시퀀스, PWR HOLD 제어</t>
        </is>
      </c>
    </row>
    <row r="10" ht="15" customHeight="1">
      <c r="A10" s="3" t="n"/>
      <c r="B10" s="33" t="inlineStr">
        <is>
          <t>합계</t>
        </is>
      </c>
      <c r="C10" s="8" t="n">
        <v>95</v>
      </c>
      <c r="D10" s="34" t="inlineStr">
        <is>
          <t>F28069 Pack BMS 전체 정의 함수</t>
        </is>
      </c>
    </row>
    <row r="11" ht="15" customHeight="1">
      <c r="A11" s="3" t="n"/>
      <c r="B11" s="33" t="inlineStr">
        <is>
          <t>연산 함수</t>
        </is>
      </c>
      <c r="C11" s="8" t="n">
        <v>7</v>
      </c>
      <c r="D11" s="33" t="inlineStr">
        <is>
          <t>전압/전류/온도/모듈 값 계산</t>
        </is>
      </c>
    </row>
    <row r="12" ht="15" customHeight="1">
      <c r="A12" s="3" t="n"/>
      <c r="B12" s="33" t="inlineStr">
        <is>
          <t>제어 함수 : SOC</t>
        </is>
      </c>
      <c r="C12" s="8" t="n">
        <v>15</v>
      </c>
      <c r="D12" s="34" t="inlineStr">
        <is>
          <t>OCV/CT 기반 SOC 계산 및 관련 제어</t>
        </is>
      </c>
    </row>
    <row r="13" ht="15" customHeight="1">
      <c r="A13" s="3" t="n"/>
      <c r="B13" s="33" t="inlineStr">
        <is>
          <t>보호 함수</t>
        </is>
      </c>
      <c r="C13" s="8" t="n">
        <v>7</v>
      </c>
      <c r="D13" s="34" t="inlineStr">
        <is>
          <t>Alarm/Fault/Protect 및 릴레이 시퀀스</t>
        </is>
      </c>
    </row>
    <row r="14" ht="15" customHeight="1">
      <c r="A14" s="3" t="n"/>
      <c r="B14" s="34" t="inlineStr">
        <is>
          <t>NVRAM 함수</t>
        </is>
      </c>
      <c r="C14" s="8" t="n">
        <v>9</v>
      </c>
      <c r="D14" s="34" t="inlineStr">
        <is>
          <t>NVRAM 저장/복원/검사/저수준 SPI</t>
        </is>
      </c>
    </row>
    <row r="15" ht="15" customHeight="1">
      <c r="A15" s="3" t="n"/>
      <c r="B15" s="17" t="inlineStr">
        <is>
          <t>합계</t>
        </is>
      </c>
      <c r="C15" s="17">
        <f>SUM(C5:C14)</f>
        <v/>
      </c>
      <c r="D15" s="18" t="inlineStr">
        <is>
          <t>전체 함수 수</t>
        </is>
      </c>
    </row>
    <row r="16" ht="15" customHeight="1">
      <c r="A16" s="3" t="n"/>
      <c r="B16" s="3" t="n"/>
      <c r="C16" s="3" t="n"/>
      <c r="D16" s="3" t="n"/>
    </row>
    <row r="17" ht="15" customHeight="1">
      <c r="A17" s="3" t="n"/>
      <c r="B17" s="41" t="inlineStr">
        <is>
          <t>※ 함수 수는 R21 SysSoure/*.c 정의 함수 기준 (extern 선언 제외). 상세는 docs/ARCHITECTURE.md 참조</t>
        </is>
      </c>
    </row>
  </sheetData>
  <mergeCells count="2">
    <mergeCell ref="B17:D17"/>
    <mergeCell ref="B2:D2"/>
  </mergeCells>
  <printOptions horizontalCentered="1"/>
  <pageMargins left="0.4" right="0.4" top="0.6" bottom="0.6" header="0.511811023622047" footer="0.511811023622047"/>
  <pageSetup orientation="portrait" paperSize="9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2026-06-19T06:29:14Z</dcterms:created>
  <dcterms:modified xmlns:dcterms="http://purl.org/dc/terms/" xmlns:xsi="http://www.w3.org/2001/XMLSchema-instance" xsi:type="dcterms:W3CDTF">2026-06-23T00:42:05Z</dcterms:modified>
  <cp:lastModifiedBy>이우원</cp:lastModifiedBy>
  <cp:revision>0</cp:revision>
</cp:coreProperties>
</file>